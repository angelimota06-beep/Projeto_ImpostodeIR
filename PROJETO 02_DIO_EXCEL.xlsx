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geli.mota\Desktop\"/>
    </mc:Choice>
  </mc:AlternateContent>
  <xr:revisionPtr revIDLastSave="0" documentId="13_ncr:1_{92200962-82DD-4F81-93CC-CFC6E83677A1}" xr6:coauthVersionLast="47" xr6:coauthVersionMax="47" xr10:uidLastSave="{00000000-0000-0000-0000-000000000000}"/>
  <bookViews>
    <workbookView xWindow="-120" yWindow="-120" windowWidth="20730" windowHeight="11040" tabRatio="0" firstSheet="2" activeTab="2" xr2:uid="{B8EB5FED-4BB3-40A3-8CB0-BC5DB0ABD9E1}"/>
  </bookViews>
  <sheets>
    <sheet name="TÍTULAR" sheetId="10" r:id="rId1"/>
    <sheet name="INFORMES" sheetId="1" r:id="rId2"/>
    <sheet name="NOTAS" sheetId="8" r:id="rId3"/>
    <sheet name="TABELA APOIO" sheetId="11" state="hidden" r:id="rId4"/>
  </sheets>
  <definedNames>
    <definedName name="_xlchart.v1.0" hidden="1">NOTAS!$D$9:$D$38</definedName>
    <definedName name="_xlchart.v1.1" hidden="1">NOTAS!$E$9:$E$38</definedName>
    <definedName name="RENDIMENTOS">Tabela1[]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H27" i="8"/>
  <c r="H26" i="8"/>
  <c r="H24" i="8"/>
  <c r="H23" i="8"/>
  <c r="H22" i="8"/>
  <c r="H2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22CB2B-4249-4E79-936F-AC3C512563FD}" keepAlive="1" name="Consulta - RESUMO (2)" description="Conexão com a consulta 'RESUMO (2)' na pasta de trabalho." type="5" refreshedVersion="8" background="1" saveData="1">
    <dbPr connection="Provider=Microsoft.Mashup.OleDb.1;Data Source=$Workbook$;Location=&quot;RESUMO (2)&quot;;Extended Properties=&quot;&quot;" command="SELECT * FROM [RESUMO (2)]"/>
  </connection>
</connections>
</file>

<file path=xl/sharedStrings.xml><?xml version="1.0" encoding="utf-8"?>
<sst xmlns="http://schemas.openxmlformats.org/spreadsheetml/2006/main" count="126" uniqueCount="97">
  <si>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</si>
  <si>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</si>
  <si>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</si>
  <si>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</si>
  <si>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</si>
  <si>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</si>
  <si>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</si>
  <si>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</si>
  <si>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</si>
  <si>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</si>
  <si>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</si>
  <si>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</si>
  <si>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</si>
  <si>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</si>
  <si>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</si>
  <si>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</si>
  <si>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NÃO</t>
  </si>
  <si>
    <t>SIM</t>
  </si>
  <si>
    <t>Debora Nascimento</t>
  </si>
  <si>
    <t>debora@nascimento.com</t>
  </si>
  <si>
    <t>Rua Cinco e Cinco, N°55</t>
  </si>
  <si>
    <t>Rua Cinco, N°55</t>
  </si>
  <si>
    <t>Daniel Santos</t>
  </si>
  <si>
    <t>2. INFORME DE RENDIMENTOS BANCÁRIOS</t>
  </si>
  <si>
    <t>Preencha com seus dados de cada banco</t>
  </si>
  <si>
    <t>BANCO</t>
  </si>
  <si>
    <t>VALOR ATUAL</t>
  </si>
  <si>
    <t>ANEXO🖇️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</si>
  <si>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</si>
  <si>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</si>
  <si>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</si>
  <si>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</si>
  <si>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</si>
  <si>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</si>
  <si>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</si>
  <si>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</si>
  <si>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</si>
  <si>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</si>
  <si>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</si>
  <si>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</si>
  <si>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</si>
  <si>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</si>
  <si>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</si>
  <si>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</si>
  <si>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</si>
  <si>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</si>
  <si>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</si>
  <si>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</si>
  <si>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</si>
  <si>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</si>
  <si>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</si>
  <si>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</si>
  <si>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</si>
  <si>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</si>
  <si>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</si>
  <si>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</si>
  <si>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</si>
  <si>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</si>
  <si>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</si>
  <si>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</si>
  <si>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</si>
  <si>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</si>
  <si>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</si>
  <si>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</si>
  <si>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</si>
  <si>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</si>
  <si>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</si>
  <si>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</si>
  <si>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</si>
  <si>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</si>
  <si>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</si>
  <si>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</si>
  <si>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</si>
  <si>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</si>
  <si>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</si>
  <si>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</si>
  <si>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</si>
  <si>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</si>
  <si>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</si>
  <si>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</si>
  <si>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 Banco</t>
  </si>
  <si>
    <t>2° Banco</t>
  </si>
  <si>
    <t>3° Banco</t>
  </si>
  <si>
    <t>TOTAL</t>
  </si>
  <si>
    <t>4° Banco</t>
  </si>
  <si>
    <t>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</si>
  <si>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</si>
  <si>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</si>
  <si>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</si>
  <si>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</si>
  <si>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</si>
  <si>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</si>
  <si>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CNPJ</t>
  </si>
  <si>
    <t>Freelancer</t>
  </si>
  <si>
    <t>Poupança</t>
  </si>
  <si>
    <t>Dividendos</t>
  </si>
  <si>
    <t>Aluguéis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</si>
</sst>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,000,000,0\-00"/>
    <numFmt numFmtId="165" formatCode="00000\-000"/>
    <numFmt numFmtId="166" formatCode="\(00\)\ 0000\-0000"/>
    <numFmt numFmtId="167" formatCode="\(00\)\ 00000\-0000"/>
    <numFmt numFmtId="168" formatCode="&quot;R$&quot;\ #,##0.00"/>
    <numFmt numFmtId="169" formatCode="mmmm\-yy"/>
  </numFmts>
  <fonts count="20" x14ac:knownFonts="1">
    <font>
      <sz val="11"/>
      <color theme="1"/>
      <name val="Aptos Narrow"/>
      <family val="2"/>
      <scheme val="minor"/>
    </font>
    <font>
      <sz val="32"/>
      <color rgb="FF002060"/>
      <name val="Baguet Script"/>
    </font>
    <font>
      <sz val="22"/>
      <color theme="1"/>
      <name val="Baguet Script"/>
    </font>
    <font>
      <sz val="22"/>
      <color rgb="FF002060"/>
      <name val="Baguet Script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color rgb="FF002060"/>
      <name val="Amasis MT Pro"/>
      <family val="1"/>
    </font>
    <font>
      <b/>
      <sz val="15"/>
      <color theme="3"/>
      <name val="Amasis MT Pro"/>
      <family val="1"/>
    </font>
    <font>
      <sz val="11"/>
      <color theme="1"/>
      <name val="Amasis MT Pro"/>
      <family val="1"/>
    </font>
    <font>
      <sz val="11"/>
      <color rgb="FF002060"/>
      <name val="Amasis MT Pro"/>
      <family val="1"/>
    </font>
    <font>
      <sz val="32"/>
      <color rgb="FF002060"/>
      <name val="Amasis MT Pro"/>
      <family val="1"/>
    </font>
    <font>
      <sz val="8"/>
      <name val="Aptos Narrow"/>
      <family val="2"/>
      <scheme val="minor"/>
    </font>
    <font>
      <sz val="9"/>
      <color rgb="FF00206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2" tint="-0.749992370372631"/>
      <name val="Amasis MT Pro"/>
      <family val="1"/>
    </font>
    <font>
      <b/>
      <sz val="12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D9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74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4" fillId="0" borderId="1" applyNumberFormat="0" applyFill="0" applyAlignment="0" applyProtection="0"/>
    <xf numFmtId="0" fontId="6" fillId="0" borderId="0" applyNumberFormat="0" applyFill="0" applyBorder="0" applyAlignment="0" applyProtection="0"/>
    <xf numFmtId="44" fontId="19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1" xfId="1" applyFont="1"/>
    <xf numFmtId="0" fontId="8" fillId="0" borderId="1" xfId="1" applyFont="1"/>
    <xf numFmtId="0" fontId="9" fillId="0" borderId="0" xfId="0" applyFont="1"/>
    <xf numFmtId="0" fontId="11" fillId="0" borderId="0" xfId="0" applyFont="1" applyAlignment="1">
      <alignment vertical="center"/>
    </xf>
    <xf numFmtId="0" fontId="10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5" fillId="5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8" fillId="0" borderId="0" xfId="0" applyFont="1" applyAlignment="1">
      <alignment horizontal="center"/>
    </xf>
    <xf numFmtId="0" fontId="9" fillId="3" borderId="2" xfId="0" applyFont="1" applyFill="1" applyBorder="1" applyAlignment="1" applyProtection="1">
      <alignment horizontal="left"/>
      <protection locked="0"/>
    </xf>
    <xf numFmtId="164" fontId="9" fillId="3" borderId="2" xfId="0" applyNumberFormat="1" applyFont="1" applyFill="1" applyBorder="1" applyAlignment="1" applyProtection="1">
      <alignment horizontal="left"/>
      <protection locked="0"/>
    </xf>
    <xf numFmtId="14" fontId="9" fillId="3" borderId="2" xfId="0" applyNumberFormat="1" applyFont="1" applyFill="1" applyBorder="1" applyAlignment="1" applyProtection="1">
      <alignment horizontal="left"/>
      <protection locked="0"/>
    </xf>
    <xf numFmtId="165" fontId="9" fillId="3" borderId="2" xfId="0" applyNumberFormat="1" applyFont="1" applyFill="1" applyBorder="1" applyAlignment="1" applyProtection="1">
      <alignment horizontal="left"/>
      <protection locked="0"/>
    </xf>
    <xf numFmtId="166" fontId="9" fillId="3" borderId="2" xfId="0" applyNumberFormat="1" applyFont="1" applyFill="1" applyBorder="1" applyAlignment="1" applyProtection="1">
      <alignment horizontal="left"/>
      <protection locked="0"/>
    </xf>
    <xf numFmtId="167" fontId="9" fillId="3" borderId="2" xfId="0" applyNumberFormat="1" applyFont="1" applyFill="1" applyBorder="1" applyAlignment="1" applyProtection="1">
      <alignment horizontal="left"/>
      <protection locked="0"/>
    </xf>
    <xf numFmtId="0" fontId="6" fillId="3" borderId="2" xfId="2" applyFill="1" applyBorder="1" applyAlignment="1" applyProtection="1">
      <alignment horizontal="left"/>
      <protection locked="0"/>
    </xf>
    <xf numFmtId="168" fontId="9" fillId="3" borderId="2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8" fontId="15" fillId="0" borderId="0" xfId="0" applyNumberFormat="1" applyFont="1" applyAlignment="1" applyProtection="1">
      <alignment horizontal="center" vertical="center"/>
      <protection locked="0"/>
    </xf>
    <xf numFmtId="44" fontId="0" fillId="0" borderId="0" xfId="3" applyFont="1"/>
    <xf numFmtId="0" fontId="16" fillId="4" borderId="3" xfId="0" applyFont="1" applyFill="1" applyBorder="1" applyAlignment="1">
      <alignment horizontal="left"/>
    </xf>
    <xf numFmtId="168" fontId="14" fillId="6" borderId="0" xfId="0" applyNumberFormat="1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</cellXfs>
  <cellStyles count="4">
    <cellStyle name="Hiperlink" xfId="2" builtinId="8"/>
    <cellStyle name="Moeda" xfId="3" builtinId="4"/>
    <cellStyle name="Normal" xfId="0" builtinId="0"/>
    <cellStyle name="Título 1" xfId="1" builtinId="16"/>
  </cellStyles>
  <dxfs count="4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mmmm\-yy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741"/>
      <color rgb="FFBFD9FE"/>
      <color rgb="FF8BA7FF"/>
      <color rgb="FFFFCC66"/>
      <color rgb="FFFFFFCC"/>
      <color rgb="FF3366FF"/>
      <color rgb="FFE6F8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43-448E-8697-4169AA98D375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843-448E-8697-4169AA98D375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43-448E-8697-4169AA98D375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43-448E-8697-4169AA98D375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843-448E-8697-4169AA98D375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7C4-4B85-8BF4-9F369F06A697}"/>
              </c:ext>
            </c:extLst>
          </c:dPt>
          <c:dLbls>
            <c:dLbl>
              <c:idx val="0"/>
              <c:layout>
                <c:manualLayout>
                  <c:x val="0.17702431749673142"/>
                  <c:y val="2.29941635350620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43-448E-8697-4169AA98D375}"/>
                </c:ext>
              </c:extLst>
            </c:dLbl>
            <c:dLbl>
              <c:idx val="1"/>
              <c:layout>
                <c:manualLayout>
                  <c:x val="0.25885296818262593"/>
                  <c:y val="-2.46271964918671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43-448E-8697-4169AA98D375}"/>
                </c:ext>
              </c:extLst>
            </c:dLbl>
            <c:dLbl>
              <c:idx val="2"/>
              <c:layout>
                <c:manualLayout>
                  <c:x val="-0.23186862001788733"/>
                  <c:y val="-3.88246742287956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43-448E-8697-4169AA98D375}"/>
                </c:ext>
              </c:extLst>
            </c:dLbl>
            <c:dLbl>
              <c:idx val="3"/>
              <c:layout>
                <c:manualLayout>
                  <c:x val="-0.18394257394584571"/>
                  <c:y val="6.17369197789531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43-448E-8697-4169AA98D375}"/>
                </c:ext>
              </c:extLst>
            </c:dLbl>
            <c:dLbl>
              <c:idx val="4"/>
              <c:layout>
                <c:manualLayout>
                  <c:x val="-0.14769027279515362"/>
                  <c:y val="2.585805225301394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43-448E-8697-4169AA98D3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NOTAS!$G$23:$G$28</c:f>
              <c:strCache>
                <c:ptCount val="5"/>
                <c:pt idx="0">
                  <c:v>CNPJ</c:v>
                </c:pt>
                <c:pt idx="1">
                  <c:v>Dividendos</c:v>
                </c:pt>
                <c:pt idx="2">
                  <c:v>Freelancer</c:v>
                </c:pt>
                <c:pt idx="3">
                  <c:v>Holerite</c:v>
                </c:pt>
                <c:pt idx="4">
                  <c:v>Poupança</c:v>
                </c:pt>
              </c:strCache>
            </c:strRef>
          </c:cat>
          <c:val>
            <c:numRef>
              <c:f>NOTAS!$H$23:$H$28</c:f>
              <c:numCache>
                <c:formatCode>_("R$"* #,##0.00_);_("R$"* \(#,##0.00\);_("R$"* "-"??_);_(@_)</c:formatCode>
                <c:ptCount val="6"/>
                <c:pt idx="0">
                  <c:v>20000</c:v>
                </c:pt>
                <c:pt idx="1">
                  <c:v>2000</c:v>
                </c:pt>
                <c:pt idx="2">
                  <c:v>14000</c:v>
                </c:pt>
                <c:pt idx="3">
                  <c:v>11000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3-448E-8697-4169AA98D37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>
                <a:solidFill>
                  <a:srgbClr val="002060"/>
                </a:solidFill>
              </a:rPr>
              <a:t>Composição de Rendimentos</a:t>
            </a:r>
            <a:endParaRPr lang="pt-BR" sz="1400" b="0" i="0" u="none" strike="noStrike" baseline="0">
              <a:solidFill>
                <a:srgbClr val="002060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6B4E6C2-550C-4B1E-B84F-E197B2308F55}">
          <cx:dataId val="0"/>
          <cx:layoutPr>
            <cx:aggregation/>
          </cx:layoutPr>
          <cx:axisId val="1"/>
        </cx:series>
        <cx:series layoutId="paretoLine" ownerIdx="0" uniqueId="{8B60E4FB-E42C-4F75-9ED5-18B81C364E43}">
          <cx:axisId val="2"/>
        </cx:series>
      </cx:plotAreaRegion>
      <cx:axis id="0">
        <cx:catScaling gapWidth="0"/>
        <cx:tickLabels/>
      </cx:axis>
      <cx:axis id="1">
        <cx:valScaling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&#205;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ngeli-benevenuto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&#205;TULAR!A1"/><Relationship Id="rId3" Type="http://schemas.openxmlformats.org/officeDocument/2006/relationships/hyperlink" Target="#INFORMES!C1"/><Relationship Id="rId7" Type="http://schemas.openxmlformats.org/officeDocument/2006/relationships/hyperlink" Target="#NOTAS!A1"/><Relationship Id="rId2" Type="http://schemas.openxmlformats.org/officeDocument/2006/relationships/hyperlink" Target="#T&#205;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ngeli-benevenuto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hyperlink" Target="#INFORMES!C1"/><Relationship Id="rId7" Type="http://schemas.openxmlformats.org/officeDocument/2006/relationships/hyperlink" Target="#T&#205;TULAR!A1"/><Relationship Id="rId2" Type="http://schemas.openxmlformats.org/officeDocument/2006/relationships/hyperlink" Target="#T&#205;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ngeli-benevenuto" TargetMode="External"/><Relationship Id="rId4" Type="http://schemas.openxmlformats.org/officeDocument/2006/relationships/hyperlink" Target="#NOTAS!C1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88</xdr:colOff>
      <xdr:row>0</xdr:row>
      <xdr:rowOff>28575</xdr:rowOff>
    </xdr:from>
    <xdr:to>
      <xdr:col>0</xdr:col>
      <xdr:colOff>2505163</xdr:colOff>
      <xdr:row>4</xdr:row>
      <xdr:rowOff>168481</xdr:rowOff>
    </xdr:to>
    <xdr:pic>
      <xdr:nvPicPr>
        <xdr:cNvPr id="2" name="Imagem 1" descr="Vetores de Capa linkedin financeiro - Baixe vetores grátis de alta  qualidade do Freepik | Freepik">
          <a:extLst>
            <a:ext uri="{FF2B5EF4-FFF2-40B4-BE49-F238E27FC236}">
              <a16:creationId xmlns:a16="http://schemas.microsoft.com/office/drawing/2014/main" id="{B764DB63-6019-4889-88BB-F6D9DDB5B0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9" t="52793" r="36686" b="2277"/>
        <a:stretch>
          <a:fillRect/>
        </a:stretch>
      </xdr:blipFill>
      <xdr:spPr bwMode="auto">
        <a:xfrm>
          <a:off x="88" y="28575"/>
          <a:ext cx="250507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242975</xdr:colOff>
      <xdr:row>5</xdr:row>
      <xdr:rowOff>158956</xdr:rowOff>
    </xdr:from>
    <xdr:to>
      <xdr:col>0</xdr:col>
      <xdr:colOff>2262275</xdr:colOff>
      <xdr:row>10</xdr:row>
      <xdr:rowOff>161801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5264687A-5867-4874-9135-929BA1E56BC2}"/>
            </a:ext>
          </a:extLst>
        </xdr:cNvPr>
        <xdr:cNvSpPr txBox="1"/>
      </xdr:nvSpPr>
      <xdr:spPr>
        <a:xfrm>
          <a:off x="242975" y="1209675"/>
          <a:ext cx="2019300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rgbClr val="002060"/>
              </a:solidFill>
              <a:effectLst>
                <a:glow rad="127000">
                  <a:schemeClr val="accent1">
                    <a:alpha val="16000"/>
                  </a:schemeClr>
                </a:glow>
              </a:effectLst>
              <a:latin typeface="Baguet Script" panose="00000500000000000000" pitchFamily="2" charset="0"/>
            </a:rPr>
            <a:t>D'Angeli</a:t>
          </a:r>
          <a:br>
            <a:rPr lang="pt-BR" sz="2800">
              <a:solidFill>
                <a:srgbClr val="002060"/>
              </a:solidFill>
              <a:effectLst>
                <a:glow rad="127000">
                  <a:schemeClr val="accent1">
                    <a:alpha val="16000"/>
                  </a:schemeClr>
                </a:glow>
              </a:effectLst>
              <a:latin typeface="Baguet Script" panose="00000500000000000000" pitchFamily="2" charset="0"/>
            </a:rPr>
          </a:br>
          <a:r>
            <a:rPr lang="pt-BR" sz="2800">
              <a:solidFill>
                <a:srgbClr val="002060"/>
              </a:solidFill>
              <a:effectLst>
                <a:glow rad="127000">
                  <a:schemeClr val="accent1">
                    <a:alpha val="16000"/>
                  </a:schemeClr>
                </a:glow>
              </a:effectLst>
              <a:latin typeface="Baguet Script" panose="00000500000000000000" pitchFamily="2" charset="0"/>
            </a:rPr>
            <a:t>Finanziario</a:t>
          </a:r>
        </a:p>
      </xdr:txBody>
    </xdr:sp>
    <xdr:clientData/>
  </xdr:twoCellAnchor>
  <xdr:twoCellAnchor editAs="absolute">
    <xdr:from>
      <xdr:col>0</xdr:col>
      <xdr:colOff>419188</xdr:colOff>
      <xdr:row>11</xdr:row>
      <xdr:rowOff>78179</xdr:rowOff>
    </xdr:from>
    <xdr:to>
      <xdr:col>0</xdr:col>
      <xdr:colOff>2086063</xdr:colOff>
      <xdr:row>13</xdr:row>
      <xdr:rowOff>30554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D5A31E-EF52-48F9-BC73-EDE815E84AB7}"/>
            </a:ext>
          </a:extLst>
        </xdr:cNvPr>
        <xdr:cNvSpPr/>
      </xdr:nvSpPr>
      <xdr:spPr>
        <a:xfrm>
          <a:off x="419188" y="2305050"/>
          <a:ext cx="1666875" cy="352425"/>
        </a:xfrm>
        <a:prstGeom prst="roundRect">
          <a:avLst/>
        </a:prstGeom>
        <a:solidFill>
          <a:srgbClr val="FFE741"/>
        </a:solidFill>
        <a:ln>
          <a:solidFill>
            <a:srgbClr val="FFE74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>
              <a:solidFill>
                <a:srgbClr val="002060"/>
              </a:solidFill>
              <a:latin typeface="Amasis MT Pro" panose="02040504050005020304" pitchFamily="18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428712</xdr:colOff>
      <xdr:row>13</xdr:row>
      <xdr:rowOff>92467</xdr:rowOff>
    </xdr:from>
    <xdr:to>
      <xdr:col>0</xdr:col>
      <xdr:colOff>2076538</xdr:colOff>
      <xdr:row>15</xdr:row>
      <xdr:rowOff>44843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52DB1B-9B7D-437D-919E-A78CFB1ED7B9}"/>
            </a:ext>
          </a:extLst>
        </xdr:cNvPr>
        <xdr:cNvSpPr/>
      </xdr:nvSpPr>
      <xdr:spPr>
        <a:xfrm>
          <a:off x="428712" y="2719388"/>
          <a:ext cx="1647826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>
              <a:solidFill>
                <a:srgbClr val="002060"/>
              </a:solidFill>
              <a:latin typeface="Amasis MT Pro" panose="02040504050005020304" pitchFamily="18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438237</xdr:colOff>
      <xdr:row>15</xdr:row>
      <xdr:rowOff>106755</xdr:rowOff>
    </xdr:from>
    <xdr:to>
      <xdr:col>0</xdr:col>
      <xdr:colOff>2067013</xdr:colOff>
      <xdr:row>17</xdr:row>
      <xdr:rowOff>59130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C46F3F-57F8-4E39-8120-5B30D0C58208}"/>
            </a:ext>
          </a:extLst>
        </xdr:cNvPr>
        <xdr:cNvSpPr/>
      </xdr:nvSpPr>
      <xdr:spPr>
        <a:xfrm>
          <a:off x="438237" y="3133725"/>
          <a:ext cx="1628776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>
              <a:solidFill>
                <a:srgbClr val="002060"/>
              </a:solidFill>
              <a:latin typeface="Amasis MT Pro" panose="02040504050005020304" pitchFamily="18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494512</xdr:colOff>
      <xdr:row>19</xdr:row>
      <xdr:rowOff>59870</xdr:rowOff>
    </xdr:from>
    <xdr:to>
      <xdr:col>0</xdr:col>
      <xdr:colOff>2010739</xdr:colOff>
      <xdr:row>20</xdr:row>
      <xdr:rowOff>136070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2879AE06-7C0C-4836-93CB-783A444E1330}"/>
            </a:ext>
          </a:extLst>
        </xdr:cNvPr>
        <xdr:cNvSpPr txBox="1"/>
      </xdr:nvSpPr>
      <xdr:spPr>
        <a:xfrm>
          <a:off x="494512" y="3812720"/>
          <a:ext cx="1516227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0">
              <a:solidFill>
                <a:srgbClr val="002060"/>
              </a:solidFill>
              <a:latin typeface="Amasis MT Pro" panose="02040504050005020304" pitchFamily="18" charset="0"/>
            </a:rPr>
            <a:t>Angeli Benevenuto</a:t>
          </a:r>
          <a:endParaRPr lang="pt-BR" sz="1000" b="0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1059179</xdr:colOff>
      <xdr:row>20</xdr:row>
      <xdr:rowOff>99081</xdr:rowOff>
    </xdr:from>
    <xdr:to>
      <xdr:col>0</xdr:col>
      <xdr:colOff>1446072</xdr:colOff>
      <xdr:row>20</xdr:row>
      <xdr:rowOff>99081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B2DA1295-1ACA-4B55-8FAF-53D0849BA149}"/>
            </a:ext>
          </a:extLst>
        </xdr:cNvPr>
        <xdr:cNvCxnSpPr/>
      </xdr:nvCxnSpPr>
      <xdr:spPr>
        <a:xfrm>
          <a:off x="1059179" y="4051956"/>
          <a:ext cx="386893" cy="0"/>
        </a:xfrm>
        <a:prstGeom prst="line">
          <a:avLst/>
        </a:prstGeom>
        <a:ln w="12700"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1030634</xdr:colOff>
      <xdr:row>20</xdr:row>
      <xdr:rowOff>99081</xdr:rowOff>
    </xdr:from>
    <xdr:to>
      <xdr:col>0</xdr:col>
      <xdr:colOff>1474616</xdr:colOff>
      <xdr:row>20</xdr:row>
      <xdr:rowOff>99081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ECA08A1C-01DB-4E1E-9A39-58BAEC90A595}"/>
            </a:ext>
          </a:extLst>
        </xdr:cNvPr>
        <xdr:cNvCxnSpPr/>
      </xdr:nvCxnSpPr>
      <xdr:spPr>
        <a:xfrm>
          <a:off x="1030634" y="4051956"/>
          <a:ext cx="443982" cy="0"/>
        </a:xfrm>
        <a:prstGeom prst="line">
          <a:avLst/>
        </a:prstGeom>
        <a:ln w="12700"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837188</xdr:colOff>
      <xdr:row>20</xdr:row>
      <xdr:rowOff>61849</xdr:rowOff>
    </xdr:from>
    <xdr:to>
      <xdr:col>0</xdr:col>
      <xdr:colOff>1668063</xdr:colOff>
      <xdr:row>23</xdr:row>
      <xdr:rowOff>123804</xdr:rowOff>
    </xdr:to>
    <xdr:pic>
      <xdr:nvPicPr>
        <xdr:cNvPr id="11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CE1D7F9-652A-4E43-BE72-C3F36E2B51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0527" b="12959"/>
        <a:stretch>
          <a:fillRect/>
        </a:stretch>
      </xdr:blipFill>
      <xdr:spPr>
        <a:xfrm>
          <a:off x="837188" y="4088945"/>
          <a:ext cx="830875" cy="647928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59871</xdr:rowOff>
    </xdr:from>
    <xdr:to>
      <xdr:col>4</xdr:col>
      <xdr:colOff>0</xdr:colOff>
      <xdr:row>20</xdr:row>
      <xdr:rowOff>99081</xdr:rowOff>
    </xdr:to>
    <xdr:sp macro="" textlink="">
      <xdr:nvSpPr>
        <xdr:cNvPr id="13" name="Seta: para a Direita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909951D-3DF5-60B2-DA7E-FA18B9DFA798}"/>
            </a:ext>
          </a:extLst>
        </xdr:cNvPr>
        <xdr:cNvSpPr/>
      </xdr:nvSpPr>
      <xdr:spPr>
        <a:xfrm>
          <a:off x="6434667" y="3891038"/>
          <a:ext cx="3302000" cy="240293"/>
        </a:xfrm>
        <a:prstGeom prst="rightArrow">
          <a:avLst>
            <a:gd name="adj1" fmla="val 100000"/>
            <a:gd name="adj2" fmla="val 5000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88</xdr:colOff>
      <xdr:row>0</xdr:row>
      <xdr:rowOff>28575</xdr:rowOff>
    </xdr:from>
    <xdr:to>
      <xdr:col>0</xdr:col>
      <xdr:colOff>2505163</xdr:colOff>
      <xdr:row>4</xdr:row>
      <xdr:rowOff>182754</xdr:rowOff>
    </xdr:to>
    <xdr:pic>
      <xdr:nvPicPr>
        <xdr:cNvPr id="2" name="Imagem 1" descr="Vetores de Capa linkedin financeiro - Baixe vetores grátis de alta  qualidade do Freepik | Freepik">
          <a:extLst>
            <a:ext uri="{FF2B5EF4-FFF2-40B4-BE49-F238E27FC236}">
              <a16:creationId xmlns:a16="http://schemas.microsoft.com/office/drawing/2014/main" id="{8AD47C49-8F57-402E-B448-CDA310809E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9" t="52793" r="36686" b="2277"/>
        <a:stretch>
          <a:fillRect/>
        </a:stretch>
      </xdr:blipFill>
      <xdr:spPr bwMode="auto">
        <a:xfrm>
          <a:off x="88" y="28575"/>
          <a:ext cx="2505075" cy="991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242975</xdr:colOff>
      <xdr:row>5</xdr:row>
      <xdr:rowOff>173230</xdr:rowOff>
    </xdr:from>
    <xdr:to>
      <xdr:col>0</xdr:col>
      <xdr:colOff>2262275</xdr:colOff>
      <xdr:row>10</xdr:row>
      <xdr:rowOff>174172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CA319CE-22FD-7752-3697-F2AC38329AB9}"/>
            </a:ext>
          </a:extLst>
        </xdr:cNvPr>
        <xdr:cNvSpPr txBox="1"/>
      </xdr:nvSpPr>
      <xdr:spPr>
        <a:xfrm>
          <a:off x="242975" y="1198999"/>
          <a:ext cx="2019300" cy="974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rgbClr val="002060"/>
              </a:solidFill>
              <a:effectLst>
                <a:glow rad="127000">
                  <a:schemeClr val="accent1">
                    <a:alpha val="16000"/>
                  </a:schemeClr>
                </a:glow>
              </a:effectLst>
              <a:latin typeface="Baguet Script" panose="00000500000000000000" pitchFamily="2" charset="0"/>
            </a:rPr>
            <a:t>D'Angeli</a:t>
          </a:r>
          <a:br>
            <a:rPr lang="pt-BR" sz="2800">
              <a:solidFill>
                <a:srgbClr val="002060"/>
              </a:solidFill>
              <a:effectLst>
                <a:glow rad="127000">
                  <a:schemeClr val="accent1">
                    <a:alpha val="16000"/>
                  </a:schemeClr>
                </a:glow>
              </a:effectLst>
              <a:latin typeface="Baguet Script" panose="00000500000000000000" pitchFamily="2" charset="0"/>
            </a:rPr>
          </a:br>
          <a:r>
            <a:rPr lang="pt-BR" sz="2800">
              <a:solidFill>
                <a:srgbClr val="002060"/>
              </a:solidFill>
              <a:effectLst>
                <a:glow rad="127000">
                  <a:schemeClr val="accent1">
                    <a:alpha val="16000"/>
                  </a:schemeClr>
                </a:glow>
              </a:effectLst>
              <a:latin typeface="Baguet Script" panose="00000500000000000000" pitchFamily="2" charset="0"/>
            </a:rPr>
            <a:t>Finanziario</a:t>
          </a:r>
        </a:p>
      </xdr:txBody>
    </xdr:sp>
    <xdr:clientData/>
  </xdr:twoCellAnchor>
  <xdr:twoCellAnchor editAs="absolute">
    <xdr:from>
      <xdr:col>0</xdr:col>
      <xdr:colOff>419188</xdr:colOff>
      <xdr:row>11</xdr:row>
      <xdr:rowOff>89598</xdr:rowOff>
    </xdr:from>
    <xdr:to>
      <xdr:col>0</xdr:col>
      <xdr:colOff>2086063</xdr:colOff>
      <xdr:row>13</xdr:row>
      <xdr:rowOff>41973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CC3C96-E481-08DB-C48D-57DE276872CE}"/>
            </a:ext>
          </a:extLst>
        </xdr:cNvPr>
        <xdr:cNvSpPr/>
      </xdr:nvSpPr>
      <xdr:spPr>
        <a:xfrm>
          <a:off x="419188" y="2287675"/>
          <a:ext cx="1666875" cy="35012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>
              <a:solidFill>
                <a:srgbClr val="002060"/>
              </a:solidFill>
              <a:latin typeface="Amasis MT Pro" panose="02040504050005020304" pitchFamily="18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428712</xdr:colOff>
      <xdr:row>13</xdr:row>
      <xdr:rowOff>103886</xdr:rowOff>
    </xdr:from>
    <xdr:to>
      <xdr:col>0</xdr:col>
      <xdr:colOff>2076538</xdr:colOff>
      <xdr:row>15</xdr:row>
      <xdr:rowOff>56261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91F1D8-B7A1-48E5-A4FA-15643E111B98}"/>
            </a:ext>
          </a:extLst>
        </xdr:cNvPr>
        <xdr:cNvSpPr/>
      </xdr:nvSpPr>
      <xdr:spPr>
        <a:xfrm>
          <a:off x="428712" y="2699710"/>
          <a:ext cx="1647826" cy="350122"/>
        </a:xfrm>
        <a:prstGeom prst="roundRect">
          <a:avLst/>
        </a:prstGeom>
        <a:solidFill>
          <a:srgbClr val="FFE741"/>
        </a:solidFill>
        <a:ln>
          <a:solidFill>
            <a:srgbClr val="FFE74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>
              <a:solidFill>
                <a:srgbClr val="002060"/>
              </a:solidFill>
              <a:latin typeface="Amasis MT Pro" panose="02040504050005020304" pitchFamily="18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438237</xdr:colOff>
      <xdr:row>15</xdr:row>
      <xdr:rowOff>118173</xdr:rowOff>
    </xdr:from>
    <xdr:to>
      <xdr:col>0</xdr:col>
      <xdr:colOff>2067013</xdr:colOff>
      <xdr:row>17</xdr:row>
      <xdr:rowOff>70547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D48A402-E414-496C-AA45-C9ADD09885F7}"/>
            </a:ext>
          </a:extLst>
        </xdr:cNvPr>
        <xdr:cNvSpPr/>
      </xdr:nvSpPr>
      <xdr:spPr>
        <a:xfrm>
          <a:off x="438237" y="3111744"/>
          <a:ext cx="1628776" cy="35012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>
              <a:solidFill>
                <a:srgbClr val="002060"/>
              </a:solidFill>
              <a:latin typeface="Amasis MT Pro" panose="02040504050005020304" pitchFamily="18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494512</xdr:colOff>
      <xdr:row>19</xdr:row>
      <xdr:rowOff>59870</xdr:rowOff>
    </xdr:from>
    <xdr:to>
      <xdr:col>0</xdr:col>
      <xdr:colOff>2010739</xdr:colOff>
      <xdr:row>20</xdr:row>
      <xdr:rowOff>136070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33DB26B2-1D54-3042-B806-EC9A0ADFC429}"/>
            </a:ext>
          </a:extLst>
        </xdr:cNvPr>
        <xdr:cNvSpPr txBox="1"/>
      </xdr:nvSpPr>
      <xdr:spPr>
        <a:xfrm>
          <a:off x="494512" y="3786134"/>
          <a:ext cx="1516227" cy="275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0">
              <a:solidFill>
                <a:srgbClr val="002060"/>
              </a:solidFill>
              <a:latin typeface="Amasis MT Pro" panose="02040504050005020304" pitchFamily="18" charset="0"/>
            </a:rPr>
            <a:t>Angeli Benevenuto</a:t>
          </a:r>
          <a:endParaRPr lang="pt-BR" sz="1000" b="0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1059179</xdr:colOff>
      <xdr:row>20</xdr:row>
      <xdr:rowOff>99081</xdr:rowOff>
    </xdr:from>
    <xdr:to>
      <xdr:col>0</xdr:col>
      <xdr:colOff>1446072</xdr:colOff>
      <xdr:row>20</xdr:row>
      <xdr:rowOff>99081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22E6D463-C724-E234-00F8-71D0C53CA9EC}"/>
            </a:ext>
          </a:extLst>
        </xdr:cNvPr>
        <xdr:cNvCxnSpPr/>
      </xdr:nvCxnSpPr>
      <xdr:spPr>
        <a:xfrm>
          <a:off x="1059179" y="4024218"/>
          <a:ext cx="386893" cy="0"/>
        </a:xfrm>
        <a:prstGeom prst="line">
          <a:avLst/>
        </a:prstGeom>
        <a:ln w="12700"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1030634</xdr:colOff>
      <xdr:row>20</xdr:row>
      <xdr:rowOff>99081</xdr:rowOff>
    </xdr:from>
    <xdr:to>
      <xdr:col>0</xdr:col>
      <xdr:colOff>1474616</xdr:colOff>
      <xdr:row>20</xdr:row>
      <xdr:rowOff>99081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20BCC7CB-8707-42BC-A389-271073423491}"/>
            </a:ext>
          </a:extLst>
        </xdr:cNvPr>
        <xdr:cNvCxnSpPr/>
      </xdr:nvCxnSpPr>
      <xdr:spPr>
        <a:xfrm>
          <a:off x="1030634" y="4024218"/>
          <a:ext cx="443982" cy="0"/>
        </a:xfrm>
        <a:prstGeom prst="line">
          <a:avLst/>
        </a:prstGeom>
        <a:ln w="12700"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837188</xdr:colOff>
      <xdr:row>20</xdr:row>
      <xdr:rowOff>73267</xdr:rowOff>
    </xdr:from>
    <xdr:to>
      <xdr:col>0</xdr:col>
      <xdr:colOff>1668063</xdr:colOff>
      <xdr:row>23</xdr:row>
      <xdr:rowOff>138078</xdr:rowOff>
    </xdr:to>
    <xdr:pic>
      <xdr:nvPicPr>
        <xdr:cNvPr id="35" name="Imagem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A05A5D-F76E-C90D-69D1-4DF2538287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0527" b="12959"/>
        <a:stretch>
          <a:fillRect/>
        </a:stretch>
      </xdr:blipFill>
      <xdr:spPr>
        <a:xfrm>
          <a:off x="837188" y="4061207"/>
          <a:ext cx="830875" cy="640497"/>
        </a:xfrm>
        <a:prstGeom prst="rect">
          <a:avLst/>
        </a:prstGeom>
      </xdr:spPr>
    </xdr:pic>
    <xdr:clientData/>
  </xdr:twoCellAnchor>
  <xdr:twoCellAnchor>
    <xdr:from>
      <xdr:col>3</xdr:col>
      <xdr:colOff>36983</xdr:colOff>
      <xdr:row>27</xdr:row>
      <xdr:rowOff>136520</xdr:rowOff>
    </xdr:from>
    <xdr:to>
      <xdr:col>4</xdr:col>
      <xdr:colOff>31400</xdr:colOff>
      <xdr:row>29</xdr:row>
      <xdr:rowOff>0</xdr:rowOff>
    </xdr:to>
    <xdr:sp macro="" textlink="">
      <xdr:nvSpPr>
        <xdr:cNvPr id="7" name="Seta: para a Direita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1509F4-400B-455D-9D3B-469EF57663B7}"/>
            </a:ext>
          </a:extLst>
        </xdr:cNvPr>
        <xdr:cNvSpPr/>
      </xdr:nvSpPr>
      <xdr:spPr>
        <a:xfrm>
          <a:off x="6463741" y="5390971"/>
          <a:ext cx="3302000" cy="240293"/>
        </a:xfrm>
        <a:prstGeom prst="rightArrow">
          <a:avLst>
            <a:gd name="adj1" fmla="val 100000"/>
            <a:gd name="adj2" fmla="val 5000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PRÓXIMO</a:t>
          </a:r>
        </a:p>
      </xdr:txBody>
    </xdr:sp>
    <xdr:clientData/>
  </xdr:twoCellAnchor>
  <xdr:twoCellAnchor>
    <xdr:from>
      <xdr:col>2</xdr:col>
      <xdr:colOff>0</xdr:colOff>
      <xdr:row>27</xdr:row>
      <xdr:rowOff>136520</xdr:rowOff>
    </xdr:from>
    <xdr:to>
      <xdr:col>3</xdr:col>
      <xdr:colOff>0</xdr:colOff>
      <xdr:row>29</xdr:row>
      <xdr:rowOff>0</xdr:rowOff>
    </xdr:to>
    <xdr:sp macro="" textlink="">
      <xdr:nvSpPr>
        <xdr:cNvPr id="9" name="Seta: para a Direita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66D4054-A0A2-4822-B20E-6562B5ED6159}"/>
            </a:ext>
          </a:extLst>
        </xdr:cNvPr>
        <xdr:cNvSpPr/>
      </xdr:nvSpPr>
      <xdr:spPr>
        <a:xfrm flipH="1">
          <a:off x="3119176" y="5390971"/>
          <a:ext cx="3307582" cy="240293"/>
        </a:xfrm>
        <a:prstGeom prst="rightArrow">
          <a:avLst>
            <a:gd name="adj1" fmla="val 100000"/>
            <a:gd name="adj2" fmla="val 5000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88</xdr:colOff>
      <xdr:row>0</xdr:row>
      <xdr:rowOff>28575</xdr:rowOff>
    </xdr:from>
    <xdr:to>
      <xdr:col>0</xdr:col>
      <xdr:colOff>2505163</xdr:colOff>
      <xdr:row>5</xdr:row>
      <xdr:rowOff>2722</xdr:rowOff>
    </xdr:to>
    <xdr:pic>
      <xdr:nvPicPr>
        <xdr:cNvPr id="2" name="Imagem 1" descr="Vetores de Capa linkedin financeiro - Baixe vetores grátis de alta  qualidade do Freepik | Freepik">
          <a:extLst>
            <a:ext uri="{FF2B5EF4-FFF2-40B4-BE49-F238E27FC236}">
              <a16:creationId xmlns:a16="http://schemas.microsoft.com/office/drawing/2014/main" id="{5F5D4138-A630-4DCF-8181-DB33AFFC4A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9" t="52793" r="36686" b="2277"/>
        <a:stretch>
          <a:fillRect/>
        </a:stretch>
      </xdr:blipFill>
      <xdr:spPr bwMode="auto">
        <a:xfrm>
          <a:off x="88" y="28575"/>
          <a:ext cx="250507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242975</xdr:colOff>
      <xdr:row>5</xdr:row>
      <xdr:rowOff>183696</xdr:rowOff>
    </xdr:from>
    <xdr:to>
      <xdr:col>0</xdr:col>
      <xdr:colOff>2262275</xdr:colOff>
      <xdr:row>10</xdr:row>
      <xdr:rowOff>183891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923B5A0-6EE6-43C4-99DB-409453069B14}"/>
            </a:ext>
          </a:extLst>
        </xdr:cNvPr>
        <xdr:cNvSpPr txBox="1"/>
      </xdr:nvSpPr>
      <xdr:spPr>
        <a:xfrm>
          <a:off x="242975" y="1209675"/>
          <a:ext cx="2019300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rgbClr val="002060"/>
              </a:solidFill>
              <a:effectLst>
                <a:glow rad="127000">
                  <a:schemeClr val="accent1">
                    <a:alpha val="16000"/>
                  </a:schemeClr>
                </a:glow>
              </a:effectLst>
              <a:latin typeface="Baguet Script" panose="00000500000000000000" pitchFamily="2" charset="0"/>
            </a:rPr>
            <a:t>D'Angeli</a:t>
          </a:r>
          <a:br>
            <a:rPr lang="pt-BR" sz="2800">
              <a:solidFill>
                <a:srgbClr val="002060"/>
              </a:solidFill>
              <a:effectLst>
                <a:glow rad="127000">
                  <a:schemeClr val="accent1">
                    <a:alpha val="16000"/>
                  </a:schemeClr>
                </a:glow>
              </a:effectLst>
              <a:latin typeface="Baguet Script" panose="00000500000000000000" pitchFamily="2" charset="0"/>
            </a:rPr>
          </a:br>
          <a:r>
            <a:rPr lang="pt-BR" sz="2800">
              <a:solidFill>
                <a:srgbClr val="002060"/>
              </a:solidFill>
              <a:effectLst>
                <a:glow rad="127000">
                  <a:schemeClr val="accent1">
                    <a:alpha val="16000"/>
                  </a:schemeClr>
                </a:glow>
              </a:effectLst>
              <a:latin typeface="Baguet Script" panose="00000500000000000000" pitchFamily="2" charset="0"/>
            </a:rPr>
            <a:t>Finanziario</a:t>
          </a:r>
        </a:p>
      </xdr:txBody>
    </xdr:sp>
    <xdr:clientData/>
  </xdr:twoCellAnchor>
  <xdr:twoCellAnchor editAs="absolute">
    <xdr:from>
      <xdr:col>0</xdr:col>
      <xdr:colOff>419188</xdr:colOff>
      <xdr:row>11</xdr:row>
      <xdr:rowOff>94084</xdr:rowOff>
    </xdr:from>
    <xdr:to>
      <xdr:col>0</xdr:col>
      <xdr:colOff>2086063</xdr:colOff>
      <xdr:row>13</xdr:row>
      <xdr:rowOff>46459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ECEA9E-6479-492D-938D-84DA4F838BDB}"/>
            </a:ext>
          </a:extLst>
        </xdr:cNvPr>
        <xdr:cNvSpPr/>
      </xdr:nvSpPr>
      <xdr:spPr>
        <a:xfrm>
          <a:off x="419188" y="2305050"/>
          <a:ext cx="1666875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>
              <a:solidFill>
                <a:srgbClr val="002060"/>
              </a:solidFill>
              <a:latin typeface="Amasis MT Pro" panose="02040504050005020304" pitchFamily="18" charset="0"/>
              <a:ea typeface="Verdana" panose="020B060403050404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428712</xdr:colOff>
      <xdr:row>13</xdr:row>
      <xdr:rowOff>108372</xdr:rowOff>
    </xdr:from>
    <xdr:to>
      <xdr:col>0</xdr:col>
      <xdr:colOff>2076538</xdr:colOff>
      <xdr:row>15</xdr:row>
      <xdr:rowOff>60746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DF4BCE-8FB9-4032-B661-1118F2EB0077}"/>
            </a:ext>
          </a:extLst>
        </xdr:cNvPr>
        <xdr:cNvSpPr/>
      </xdr:nvSpPr>
      <xdr:spPr>
        <a:xfrm>
          <a:off x="428712" y="2719388"/>
          <a:ext cx="1647826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>
              <a:solidFill>
                <a:srgbClr val="002060"/>
              </a:solidFill>
              <a:latin typeface="Amasis MT Pro" panose="02040504050005020304" pitchFamily="18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438237</xdr:colOff>
      <xdr:row>15</xdr:row>
      <xdr:rowOff>122658</xdr:rowOff>
    </xdr:from>
    <xdr:to>
      <xdr:col>0</xdr:col>
      <xdr:colOff>2067013</xdr:colOff>
      <xdr:row>17</xdr:row>
      <xdr:rowOff>75033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B1796D-CA85-450D-B9CA-CCFC2BF7DE28}"/>
            </a:ext>
          </a:extLst>
        </xdr:cNvPr>
        <xdr:cNvSpPr/>
      </xdr:nvSpPr>
      <xdr:spPr>
        <a:xfrm>
          <a:off x="438237" y="3133725"/>
          <a:ext cx="1628776" cy="352425"/>
        </a:xfrm>
        <a:prstGeom prst="roundRect">
          <a:avLst/>
        </a:prstGeom>
        <a:solidFill>
          <a:srgbClr val="FFE741"/>
        </a:solidFill>
        <a:ln>
          <a:solidFill>
            <a:srgbClr val="FFE74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>
              <a:solidFill>
                <a:srgbClr val="002060"/>
              </a:solidFill>
              <a:latin typeface="Amasis MT Pro" panose="02040504050005020304" pitchFamily="18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494512</xdr:colOff>
      <xdr:row>19</xdr:row>
      <xdr:rowOff>59870</xdr:rowOff>
    </xdr:from>
    <xdr:to>
      <xdr:col>0</xdr:col>
      <xdr:colOff>2010739</xdr:colOff>
      <xdr:row>20</xdr:row>
      <xdr:rowOff>136070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F53C7E96-7D8C-43A7-AA81-EC398482736B}"/>
            </a:ext>
          </a:extLst>
        </xdr:cNvPr>
        <xdr:cNvSpPr txBox="1"/>
      </xdr:nvSpPr>
      <xdr:spPr>
        <a:xfrm>
          <a:off x="494512" y="3812720"/>
          <a:ext cx="1516227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0">
              <a:solidFill>
                <a:srgbClr val="002060"/>
              </a:solidFill>
              <a:latin typeface="Amasis MT Pro" panose="02040504050005020304" pitchFamily="18" charset="0"/>
            </a:rPr>
            <a:t>Angeli Benevenuto</a:t>
          </a:r>
          <a:endParaRPr lang="pt-BR" sz="1000" b="0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1059179</xdr:colOff>
      <xdr:row>20</xdr:row>
      <xdr:rowOff>99081</xdr:rowOff>
    </xdr:from>
    <xdr:to>
      <xdr:col>0</xdr:col>
      <xdr:colOff>1446072</xdr:colOff>
      <xdr:row>20</xdr:row>
      <xdr:rowOff>99081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F1CBE44D-528E-441D-A912-3B9F7BB03671}"/>
            </a:ext>
          </a:extLst>
        </xdr:cNvPr>
        <xdr:cNvCxnSpPr/>
      </xdr:nvCxnSpPr>
      <xdr:spPr>
        <a:xfrm>
          <a:off x="1059179" y="4051956"/>
          <a:ext cx="386893" cy="0"/>
        </a:xfrm>
        <a:prstGeom prst="line">
          <a:avLst/>
        </a:prstGeom>
        <a:ln w="12700"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1030634</xdr:colOff>
      <xdr:row>20</xdr:row>
      <xdr:rowOff>99081</xdr:rowOff>
    </xdr:from>
    <xdr:to>
      <xdr:col>0</xdr:col>
      <xdr:colOff>1474616</xdr:colOff>
      <xdr:row>20</xdr:row>
      <xdr:rowOff>99081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120144FA-49F5-4865-8826-8C079422E88B}"/>
            </a:ext>
          </a:extLst>
        </xdr:cNvPr>
        <xdr:cNvCxnSpPr/>
      </xdr:nvCxnSpPr>
      <xdr:spPr>
        <a:xfrm>
          <a:off x="1030634" y="4051956"/>
          <a:ext cx="443982" cy="0"/>
        </a:xfrm>
        <a:prstGeom prst="line">
          <a:avLst/>
        </a:prstGeom>
        <a:ln w="12700"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837188</xdr:colOff>
      <xdr:row>20</xdr:row>
      <xdr:rowOff>77754</xdr:rowOff>
    </xdr:from>
    <xdr:to>
      <xdr:col>0</xdr:col>
      <xdr:colOff>1668063</xdr:colOff>
      <xdr:row>23</xdr:row>
      <xdr:rowOff>129105</xdr:rowOff>
    </xdr:to>
    <xdr:pic>
      <xdr:nvPicPr>
        <xdr:cNvPr id="11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1BF2A6-9ADF-44CE-AF99-19771340AE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0527" b="12959"/>
        <a:stretch>
          <a:fillRect/>
        </a:stretch>
      </xdr:blipFill>
      <xdr:spPr>
        <a:xfrm>
          <a:off x="837188" y="4088945"/>
          <a:ext cx="830875" cy="647928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60642</xdr:rowOff>
    </xdr:from>
    <xdr:to>
      <xdr:col>3</xdr:col>
      <xdr:colOff>0</xdr:colOff>
      <xdr:row>5</xdr:row>
      <xdr:rowOff>112528</xdr:rowOff>
    </xdr:to>
    <xdr:sp macro="" textlink="">
      <xdr:nvSpPr>
        <xdr:cNvPr id="12" name="Seta: para a Direita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C35913C-204D-4637-B3EA-2721476AD206}"/>
            </a:ext>
          </a:extLst>
        </xdr:cNvPr>
        <xdr:cNvSpPr/>
      </xdr:nvSpPr>
      <xdr:spPr>
        <a:xfrm flipH="1">
          <a:off x="3123314" y="835933"/>
          <a:ext cx="1439826" cy="240171"/>
        </a:xfrm>
        <a:prstGeom prst="rightArrow">
          <a:avLst>
            <a:gd name="adj1" fmla="val 100000"/>
            <a:gd name="adj2" fmla="val 5000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ANTERIOR</a:t>
          </a:r>
        </a:p>
      </xdr:txBody>
    </xdr:sp>
    <xdr:clientData/>
  </xdr:twoCellAnchor>
  <xdr:twoCellAnchor>
    <xdr:from>
      <xdr:col>5</xdr:col>
      <xdr:colOff>201583</xdr:colOff>
      <xdr:row>2</xdr:row>
      <xdr:rowOff>223050</xdr:rowOff>
    </xdr:from>
    <xdr:to>
      <xdr:col>12</xdr:col>
      <xdr:colOff>537876</xdr:colOff>
      <xdr:row>15</xdr:row>
      <xdr:rowOff>162623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BA63B9E-98D6-9F93-7CD5-4986F2C312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9733" y="604050"/>
              <a:ext cx="4879718" cy="25779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226510</xdr:colOff>
      <xdr:row>16</xdr:row>
      <xdr:rowOff>127775</xdr:rowOff>
    </xdr:from>
    <xdr:to>
      <xdr:col>12</xdr:col>
      <xdr:colOff>562803</xdr:colOff>
      <xdr:row>27</xdr:row>
      <xdr:rowOff>127774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A355301-9489-91ED-876A-CF959EE90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E16DD-6366-4FAA-88C3-7FDDFA77442C}" name="Tabela1" displayName="Tabela1" ref="C8:E38" totalsRowShown="0" headerRowDxfId="3">
  <autoFilter ref="C8:E38" xr:uid="{E7EE16DD-6366-4FAA-88C3-7FDDFA77442C}"/>
  <sortState xmlns:xlrd2="http://schemas.microsoft.com/office/spreadsheetml/2017/richdata2" ref="C9:E35">
    <sortCondition ref="C8:C35"/>
  </sortState>
  <tableColumns count="3">
    <tableColumn id="1" xr3:uid="{BD87529A-688F-4A37-8EB6-0C0E3D1367F9}" name="DATA" dataDxfId="2">
      <calculatedColumnFormula>TODAY()</calculatedColumnFormula>
    </tableColumn>
    <tableColumn id="2" xr3:uid="{10E26873-4DE7-4DBA-A43E-A140E68CE65A}" name="CATEGORIA" dataDxfId="1"/>
    <tableColumn id="3" xr3:uid="{E3EDF729-038E-49C4-81C5-43D438AF0449}" name="VALOR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ebora@nascimento.com?subject=Declara&#231;&#227;o%20Imposto%20de%20rend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DB12-68EC-408D-9A4E-9325268FDD80}">
  <sheetPr codeName="Planilha4"/>
  <dimension ref="A3:J21"/>
  <sheetViews>
    <sheetView showGridLines="0" showRowColHeaders="0" zoomScale="82" zoomScaleNormal="82" workbookViewId="0">
      <selection activeCell="C1" sqref="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7.7109375" style="2" customWidth="1"/>
    <col min="3" max="4" width="49.5703125" customWidth="1"/>
  </cols>
  <sheetData>
    <row r="3" spans="1:10" ht="21" customHeight="1" thickBot="1" x14ac:dyDescent="0.4">
      <c r="C3" s="5" t="s">
        <v>14</v>
      </c>
      <c r="D3" s="6"/>
      <c r="E3" s="6"/>
    </row>
    <row r="4" spans="1:10" ht="15.75" customHeight="1" thickTop="1" x14ac:dyDescent="0.25">
      <c r="C4" s="28" t="s">
        <v>15</v>
      </c>
      <c r="D4" s="28"/>
      <c r="E4" s="28"/>
    </row>
    <row r="5" spans="1:10" ht="15" customHeight="1" x14ac:dyDescent="0.5">
      <c r="A5" s="1"/>
      <c r="C5" s="7"/>
      <c r="D5" s="7"/>
      <c r="E5" s="7"/>
    </row>
    <row r="6" spans="1:10" ht="15" customHeight="1" x14ac:dyDescent="0.25">
      <c r="C6" s="9" t="s">
        <v>0</v>
      </c>
      <c r="D6" s="16" t="s">
        <v>18</v>
      </c>
      <c r="E6" s="7"/>
    </row>
    <row r="7" spans="1:10" ht="15" customHeight="1" x14ac:dyDescent="0.25">
      <c r="A7" s="3"/>
      <c r="C7" s="9" t="s">
        <v>1</v>
      </c>
      <c r="D7" s="17">
        <v>0</v>
      </c>
      <c r="E7" s="7"/>
    </row>
    <row r="8" spans="1:10" ht="15.75" customHeight="1" x14ac:dyDescent="0.25">
      <c r="A8" s="3"/>
      <c r="C8" s="9" t="s">
        <v>2</v>
      </c>
      <c r="D8" s="18">
        <v>34824</v>
      </c>
      <c r="E8" s="7"/>
    </row>
    <row r="9" spans="1:10" ht="15.75" customHeight="1" x14ac:dyDescent="0.25">
      <c r="C9" s="9" t="s">
        <v>3</v>
      </c>
      <c r="D9" s="16">
        <v>5555555</v>
      </c>
      <c r="E9" s="7"/>
    </row>
    <row r="10" spans="1:10" ht="15.75" customHeight="1" x14ac:dyDescent="0.25">
      <c r="C10" s="9" t="s">
        <v>4</v>
      </c>
      <c r="D10" s="16" t="s">
        <v>22</v>
      </c>
      <c r="E10" s="7"/>
    </row>
    <row r="11" spans="1:10" ht="15.75" customHeight="1" x14ac:dyDescent="0.25">
      <c r="C11" s="9" t="s">
        <v>5</v>
      </c>
      <c r="D11" s="16" t="s">
        <v>20</v>
      </c>
      <c r="E11" s="8"/>
      <c r="F11" s="4"/>
      <c r="G11" s="4"/>
      <c r="H11" s="4"/>
      <c r="I11" s="4"/>
      <c r="J11" s="4"/>
    </row>
    <row r="12" spans="1:10" ht="15.75" customHeight="1" x14ac:dyDescent="0.25">
      <c r="C12" s="9" t="s">
        <v>6</v>
      </c>
      <c r="D12" s="16" t="s">
        <v>21</v>
      </c>
      <c r="E12" s="8"/>
      <c r="F12" s="4"/>
      <c r="G12" s="4"/>
      <c r="H12" s="4"/>
      <c r="I12" s="4"/>
      <c r="J12" s="4"/>
    </row>
    <row r="13" spans="1:10" ht="15.75" customHeight="1" x14ac:dyDescent="0.25">
      <c r="C13" s="9" t="s">
        <v>7</v>
      </c>
      <c r="D13" s="19">
        <v>5550055</v>
      </c>
      <c r="E13" s="8"/>
      <c r="F13" s="4"/>
      <c r="G13" s="4"/>
      <c r="H13" s="4"/>
      <c r="I13" s="4"/>
      <c r="J13" s="4"/>
    </row>
    <row r="14" spans="1:10" ht="15.75" customHeight="1" x14ac:dyDescent="0.25">
      <c r="C14" s="9" t="s">
        <v>8</v>
      </c>
      <c r="D14" s="20">
        <v>1155555555</v>
      </c>
      <c r="E14" s="8"/>
      <c r="F14" s="4"/>
      <c r="G14" s="4"/>
      <c r="H14" s="4"/>
      <c r="I14" s="4"/>
      <c r="J14" s="4"/>
    </row>
    <row r="15" spans="1:10" ht="15.75" customHeight="1" x14ac:dyDescent="0.25">
      <c r="C15" s="9" t="s">
        <v>9</v>
      </c>
      <c r="D15" s="21">
        <v>11955555555</v>
      </c>
      <c r="E15" s="8"/>
      <c r="F15" s="4"/>
      <c r="G15" s="4"/>
      <c r="H15" s="4"/>
      <c r="I15" s="4"/>
      <c r="J15" s="4"/>
    </row>
    <row r="16" spans="1:10" ht="15.75" customHeight="1" x14ac:dyDescent="0.25">
      <c r="C16" s="9" t="s">
        <v>10</v>
      </c>
      <c r="D16" s="22" t="s">
        <v>19</v>
      </c>
      <c r="E16" s="7"/>
    </row>
    <row r="17" spans="3:5" ht="15.75" customHeight="1" x14ac:dyDescent="0.25">
      <c r="C17" s="9" t="s">
        <v>11</v>
      </c>
      <c r="D17" s="16" t="s">
        <v>17</v>
      </c>
      <c r="E17" s="7"/>
    </row>
    <row r="18" spans="3:5" ht="15.75" customHeight="1" x14ac:dyDescent="0.25">
      <c r="C18" s="9" t="s">
        <v>12</v>
      </c>
      <c r="D18" s="16" t="s">
        <v>16</v>
      </c>
      <c r="E18" s="7"/>
    </row>
    <row r="19" spans="3:5" ht="15.75" customHeight="1" x14ac:dyDescent="0.25">
      <c r="C19" s="9" t="s">
        <v>13</v>
      </c>
      <c r="D19" s="16" t="s">
        <v>16</v>
      </c>
      <c r="E19" s="7"/>
    </row>
    <row r="20" spans="3:5" ht="15.75" customHeight="1" x14ac:dyDescent="0.25">
      <c r="C20" s="10"/>
      <c r="E20" s="7"/>
    </row>
    <row r="21" spans="3:5" ht="15.75" customHeight="1" x14ac:dyDescent="0.25"/>
  </sheetData>
  <sheetProtection selectLockedCells="1"/>
  <mergeCells count="1">
    <mergeCell ref="C4:E4"/>
  </mergeCells>
  <dataValidations count="1">
    <dataValidation type="list" allowBlank="1" showInputMessage="1" showErrorMessage="1" sqref="D17:D19" xr:uid="{8FB1A00A-C426-4731-BD4E-5C0FF666B2E8}">
      <formula1>"SIM,NÃO"</formula1>
    </dataValidation>
  </dataValidations>
  <hyperlinks>
    <hyperlink ref="D16" r:id="rId1" xr:uid="{51158286-4469-4CD0-9F18-0D285619186F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5744-687E-4F06-B8F9-A0CDF81AB50B}">
  <sheetPr codeName="Planilha2"/>
  <dimension ref="A3:J27"/>
  <sheetViews>
    <sheetView showGridLines="0" zoomScale="82" zoomScaleNormal="82" workbookViewId="0"/>
  </sheetViews>
  <sheetFormatPr defaultRowHeight="15" x14ac:dyDescent="0.25"/>
  <cols>
    <col min="1" max="1" width="37.7109375" style="2" customWidth="1"/>
    <col min="3" max="4" width="49.5703125" customWidth="1"/>
  </cols>
  <sheetData>
    <row r="3" spans="1:10" ht="21" customHeight="1" thickBot="1" x14ac:dyDescent="0.4">
      <c r="C3" s="5" t="s">
        <v>23</v>
      </c>
      <c r="D3" s="6"/>
      <c r="E3" s="6"/>
    </row>
    <row r="4" spans="1:10" ht="15.75" customHeight="1" thickTop="1" x14ac:dyDescent="0.25">
      <c r="C4" s="28" t="s">
        <v>24</v>
      </c>
      <c r="D4" s="28"/>
      <c r="E4" s="28"/>
    </row>
    <row r="5" spans="1:10" ht="15" customHeight="1" x14ac:dyDescent="0.5">
      <c r="A5" s="1"/>
    </row>
    <row r="6" spans="1:10" ht="15" customHeight="1" x14ac:dyDescent="0.25">
      <c r="C6" s="13" t="s">
        <v>83</v>
      </c>
      <c r="D6" s="14"/>
      <c r="E6" s="14"/>
    </row>
    <row r="7" spans="1:10" ht="15" customHeight="1" x14ac:dyDescent="0.25">
      <c r="A7" s="3"/>
      <c r="C7" s="29">
        <f>SUM(D11,D16,D21,D26)</f>
        <v>17800</v>
      </c>
      <c r="D7" s="30"/>
      <c r="E7" s="30"/>
    </row>
    <row r="8" spans="1:10" ht="15.75" customHeight="1" x14ac:dyDescent="0.25">
      <c r="A8" s="3"/>
    </row>
    <row r="9" spans="1:10" ht="15.75" customHeight="1" x14ac:dyDescent="0.25">
      <c r="C9" s="12" t="s">
        <v>80</v>
      </c>
    </row>
    <row r="10" spans="1:10" ht="15.75" customHeight="1" x14ac:dyDescent="0.25">
      <c r="C10" s="9" t="s">
        <v>25</v>
      </c>
      <c r="D10" s="16" t="s">
        <v>49</v>
      </c>
    </row>
    <row r="11" spans="1:10" ht="15.75" customHeight="1" x14ac:dyDescent="0.25">
      <c r="C11" s="9" t="s">
        <v>26</v>
      </c>
      <c r="D11" s="23">
        <v>15000</v>
      </c>
      <c r="E11" s="4"/>
      <c r="F11" s="4"/>
      <c r="G11" s="4"/>
      <c r="H11" s="4"/>
      <c r="I11" s="4"/>
      <c r="J11" s="4"/>
    </row>
    <row r="12" spans="1:10" ht="15.75" customHeight="1" x14ac:dyDescent="0.25">
      <c r="C12" s="9" t="s">
        <v>27</v>
      </c>
      <c r="D12" s="16" t="s">
        <v>28</v>
      </c>
      <c r="E12" s="4"/>
      <c r="F12" s="4"/>
      <c r="G12" s="4"/>
      <c r="H12" s="4"/>
      <c r="I12" s="4"/>
      <c r="J12" s="4"/>
    </row>
    <row r="13" spans="1:10" ht="15.75" customHeight="1" x14ac:dyDescent="0.25">
      <c r="E13" s="4"/>
      <c r="F13" s="4"/>
      <c r="G13" s="4"/>
      <c r="H13" s="4"/>
      <c r="I13" s="4"/>
      <c r="J13" s="4"/>
    </row>
    <row r="14" spans="1:10" ht="15.75" customHeight="1" x14ac:dyDescent="0.25">
      <c r="C14" s="12" t="s">
        <v>81</v>
      </c>
      <c r="E14" s="4"/>
      <c r="F14" s="4"/>
      <c r="G14" s="4"/>
      <c r="H14" s="4"/>
      <c r="I14" s="4"/>
      <c r="J14" s="4"/>
    </row>
    <row r="15" spans="1:10" ht="15.75" customHeight="1" x14ac:dyDescent="0.25">
      <c r="C15" s="9" t="s">
        <v>25</v>
      </c>
      <c r="D15" s="16" t="s">
        <v>40</v>
      </c>
      <c r="E15" s="4"/>
      <c r="F15" s="4"/>
      <c r="G15" s="4"/>
      <c r="H15" s="4"/>
      <c r="I15" s="4"/>
      <c r="J15" s="4"/>
    </row>
    <row r="16" spans="1:10" ht="15.75" customHeight="1" x14ac:dyDescent="0.25">
      <c r="C16" s="9" t="s">
        <v>26</v>
      </c>
      <c r="D16" s="23">
        <v>1000</v>
      </c>
    </row>
    <row r="17" spans="3:4" ht="15.75" customHeight="1" x14ac:dyDescent="0.25">
      <c r="C17" s="9" t="s">
        <v>27</v>
      </c>
      <c r="D17" s="16" t="s">
        <v>28</v>
      </c>
    </row>
    <row r="18" spans="3:4" ht="15.75" customHeight="1" x14ac:dyDescent="0.25"/>
    <row r="19" spans="3:4" ht="15.75" customHeight="1" x14ac:dyDescent="0.25">
      <c r="C19" s="12" t="s">
        <v>82</v>
      </c>
    </row>
    <row r="20" spans="3:4" ht="15.75" customHeight="1" x14ac:dyDescent="0.25">
      <c r="C20" s="9" t="s">
        <v>25</v>
      </c>
      <c r="D20" s="16" t="s">
        <v>46</v>
      </c>
    </row>
    <row r="21" spans="3:4" ht="15.75" customHeight="1" x14ac:dyDescent="0.25">
      <c r="C21" s="9" t="s">
        <v>26</v>
      </c>
      <c r="D21" s="23">
        <v>1600</v>
      </c>
    </row>
    <row r="22" spans="3:4" x14ac:dyDescent="0.25">
      <c r="C22" s="9" t="s">
        <v>27</v>
      </c>
      <c r="D22" s="16" t="s">
        <v>28</v>
      </c>
    </row>
    <row r="24" spans="3:4" x14ac:dyDescent="0.25">
      <c r="C24" s="12" t="s">
        <v>84</v>
      </c>
    </row>
    <row r="25" spans="3:4" x14ac:dyDescent="0.25">
      <c r="C25" s="9" t="s">
        <v>25</v>
      </c>
      <c r="D25" s="16" t="s">
        <v>43</v>
      </c>
    </row>
    <row r="26" spans="3:4" x14ac:dyDescent="0.25">
      <c r="C26" s="9" t="s">
        <v>26</v>
      </c>
      <c r="D26" s="23">
        <v>200</v>
      </c>
    </row>
    <row r="27" spans="3:4" x14ac:dyDescent="0.25">
      <c r="C27" s="9" t="s">
        <v>27</v>
      </c>
      <c r="D27" s="16" t="s">
        <v>28</v>
      </c>
    </row>
  </sheetData>
  <sheetProtection selectLockedCells="1"/>
  <mergeCells count="2">
    <mergeCell ref="C4:E4"/>
    <mergeCell ref="C7:E7"/>
  </mergeCells>
  <phoneticPr fontId="12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válido" promptTitle="Informe - Banco" prompt="Informe um banco vinculado ao seu CPF" xr:uid="{2C0774FA-E0BC-4604-872B-DF049A54C293}">
          <x14:formula1>
            <xm:f>'TABELA APOIO'!$A$2:$A$51</xm:f>
          </x14:formula1>
          <xm:sqref>D10 D15 D20 D25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BBE9-4BC3-49BE-9454-1FC03C856D2F}">
  <sheetPr codeName="Planilha3"/>
  <dimension ref="A3:J38"/>
  <sheetViews>
    <sheetView showGridLines="0" tabSelected="1" zoomScale="82" zoomScaleNormal="82" workbookViewId="0"/>
  </sheetViews>
  <sheetFormatPr defaultRowHeight="15" x14ac:dyDescent="0.25"/>
  <cols>
    <col min="1" max="1" width="37.7109375" style="2" customWidth="1"/>
    <col min="3" max="3" width="21.5703125" customWidth="1"/>
    <col min="4" max="4" width="30.28515625" customWidth="1"/>
    <col min="5" max="5" width="22.140625" customWidth="1"/>
    <col min="8" max="8" width="13.28515625" bestFit="1" customWidth="1"/>
  </cols>
  <sheetData>
    <row r="3" spans="1:10" ht="21" customHeight="1" thickBot="1" x14ac:dyDescent="0.4">
      <c r="C3" s="5" t="s">
        <v>86</v>
      </c>
      <c r="D3" s="6"/>
      <c r="E3" s="6"/>
    </row>
    <row r="4" spans="1:10" ht="15.75" customHeight="1" thickTop="1" x14ac:dyDescent="0.25">
      <c r="C4" s="28" t="s">
        <v>85</v>
      </c>
      <c r="D4" s="28"/>
      <c r="E4" s="28"/>
    </row>
    <row r="5" spans="1:10" ht="15" customHeight="1" x14ac:dyDescent="0.5">
      <c r="A5" s="1"/>
    </row>
    <row r="6" spans="1:10" ht="15" customHeight="1" x14ac:dyDescent="0.25"/>
    <row r="7" spans="1:10" ht="15" customHeight="1" x14ac:dyDescent="0.25">
      <c r="A7" s="3"/>
      <c r="C7" s="31" t="s">
        <v>90</v>
      </c>
      <c r="D7" s="32"/>
      <c r="E7" s="32"/>
    </row>
    <row r="8" spans="1:10" ht="15.75" customHeight="1" x14ac:dyDescent="0.25">
      <c r="A8" s="3"/>
      <c r="C8" s="15" t="s">
        <v>87</v>
      </c>
      <c r="D8" s="15" t="s">
        <v>88</v>
      </c>
      <c r="E8" s="15" t="s">
        <v>89</v>
      </c>
    </row>
    <row r="9" spans="1:10" ht="15.75" customHeight="1" x14ac:dyDescent="0.25">
      <c r="C9" s="24">
        <v>45658</v>
      </c>
      <c r="D9" s="25" t="s">
        <v>94</v>
      </c>
      <c r="E9" s="26">
        <v>2000</v>
      </c>
    </row>
    <row r="10" spans="1:10" ht="15.75" customHeight="1" x14ac:dyDescent="0.25">
      <c r="C10" s="24">
        <v>45689</v>
      </c>
      <c r="D10" s="25" t="s">
        <v>95</v>
      </c>
      <c r="E10" s="26">
        <v>2000</v>
      </c>
    </row>
    <row r="11" spans="1:10" ht="15.75" customHeight="1" x14ac:dyDescent="0.25">
      <c r="C11" s="24">
        <v>45717</v>
      </c>
      <c r="D11" s="25" t="s">
        <v>92</v>
      </c>
      <c r="E11" s="26">
        <v>5000</v>
      </c>
      <c r="F11" s="4"/>
      <c r="G11" s="4"/>
      <c r="H11" s="4"/>
      <c r="I11" s="4"/>
      <c r="J11" s="4"/>
    </row>
    <row r="12" spans="1:10" ht="15.75" customHeight="1" x14ac:dyDescent="0.25">
      <c r="C12" s="24">
        <v>45748</v>
      </c>
      <c r="D12" s="25" t="s">
        <v>93</v>
      </c>
      <c r="E12" s="26">
        <v>10000</v>
      </c>
      <c r="F12" s="4"/>
      <c r="G12" s="4"/>
      <c r="H12" s="4"/>
      <c r="I12" s="4"/>
      <c r="J12" s="4"/>
    </row>
    <row r="13" spans="1:10" ht="15.75" customHeight="1" x14ac:dyDescent="0.25">
      <c r="C13" s="24">
        <v>45778</v>
      </c>
      <c r="D13" s="25" t="s">
        <v>91</v>
      </c>
      <c r="E13" s="26">
        <v>2000</v>
      </c>
      <c r="F13" s="4"/>
      <c r="G13" s="4"/>
      <c r="H13" s="4"/>
      <c r="I13" s="4"/>
      <c r="J13" s="4"/>
    </row>
    <row r="14" spans="1:10" ht="15.75" customHeight="1" x14ac:dyDescent="0.25">
      <c r="C14" s="24">
        <v>45809</v>
      </c>
      <c r="D14" s="25" t="s">
        <v>92</v>
      </c>
      <c r="E14" s="26">
        <v>15000</v>
      </c>
      <c r="F14" s="4"/>
      <c r="G14" s="4"/>
      <c r="H14" s="4"/>
      <c r="I14" s="4"/>
      <c r="J14" s="4"/>
    </row>
    <row r="15" spans="1:10" ht="15.75" customHeight="1" x14ac:dyDescent="0.25">
      <c r="C15" s="24">
        <v>45839</v>
      </c>
      <c r="D15" s="25" t="s">
        <v>93</v>
      </c>
      <c r="E15" s="26">
        <v>2000</v>
      </c>
      <c r="F15" s="4"/>
      <c r="G15" s="4"/>
      <c r="H15" s="4"/>
      <c r="I15" s="4"/>
      <c r="J15" s="4"/>
    </row>
    <row r="16" spans="1:10" ht="15.75" customHeight="1" x14ac:dyDescent="0.25">
      <c r="C16" s="24">
        <v>45870</v>
      </c>
      <c r="D16" s="25" t="s">
        <v>91</v>
      </c>
      <c r="E16" s="26">
        <v>2000</v>
      </c>
    </row>
    <row r="17" spans="3:8" ht="15.75" customHeight="1" x14ac:dyDescent="0.25">
      <c r="C17" s="24">
        <v>45901</v>
      </c>
      <c r="D17" s="25" t="s">
        <v>91</v>
      </c>
      <c r="E17" s="26">
        <v>2000</v>
      </c>
    </row>
    <row r="18" spans="3:8" ht="15.75" customHeight="1" x14ac:dyDescent="0.25">
      <c r="C18" s="24">
        <v>45931</v>
      </c>
      <c r="D18" s="25" t="s">
        <v>93</v>
      </c>
      <c r="E18" s="26">
        <v>2000</v>
      </c>
    </row>
    <row r="19" spans="3:8" ht="15.75" customHeight="1" x14ac:dyDescent="0.25">
      <c r="C19" s="24">
        <v>45962</v>
      </c>
      <c r="D19" s="25" t="s">
        <v>96</v>
      </c>
      <c r="E19" s="26">
        <v>2000</v>
      </c>
    </row>
    <row r="20" spans="3:8" ht="15.75" customHeight="1" x14ac:dyDescent="0.25">
      <c r="C20" s="24">
        <v>45992</v>
      </c>
      <c r="D20" s="25" t="s">
        <v>91</v>
      </c>
      <c r="E20" s="26">
        <v>5000</v>
      </c>
    </row>
    <row r="21" spans="3:8" ht="15.75" customHeight="1" x14ac:dyDescent="0.25">
      <c r="C21" s="24"/>
      <c r="D21" s="25"/>
      <c r="E21" s="26"/>
    </row>
    <row r="22" spans="3:8" ht="15.75" x14ac:dyDescent="0.25">
      <c r="C22" s="24"/>
      <c r="D22" s="25"/>
      <c r="E22" s="26"/>
      <c r="G22" t="s">
        <v>96</v>
      </c>
      <c r="H22" s="27">
        <f>SUMIF(D:D, "Aluguéis", E:E)</f>
        <v>2000</v>
      </c>
    </row>
    <row r="23" spans="3:8" ht="15.75" x14ac:dyDescent="0.25">
      <c r="C23" s="24"/>
      <c r="D23" s="25"/>
      <c r="E23" s="26"/>
      <c r="G23" t="s">
        <v>92</v>
      </c>
      <c r="H23" s="27">
        <f>SUMIF(D:D, "CNPJ", E:E)</f>
        <v>20000</v>
      </c>
    </row>
    <row r="24" spans="3:8" ht="15.75" x14ac:dyDescent="0.25">
      <c r="C24" s="24"/>
      <c r="D24" s="25"/>
      <c r="E24" s="26"/>
      <c r="G24" t="s">
        <v>95</v>
      </c>
      <c r="H24" s="27">
        <f>SUMIF(D:D, "Dividendos", E:E)</f>
        <v>2000</v>
      </c>
    </row>
    <row r="25" spans="3:8" ht="15.75" x14ac:dyDescent="0.25">
      <c r="C25" s="24"/>
      <c r="D25" s="25"/>
      <c r="E25" s="26"/>
      <c r="G25" t="s">
        <v>93</v>
      </c>
      <c r="H25" s="27">
        <f>SUMIF(D:D, "Freelancer", E:E)</f>
        <v>14000</v>
      </c>
    </row>
    <row r="26" spans="3:8" ht="15.75" x14ac:dyDescent="0.25">
      <c r="C26" s="24"/>
      <c r="D26" s="25"/>
      <c r="E26" s="26"/>
      <c r="G26" t="s">
        <v>91</v>
      </c>
      <c r="H26" s="27">
        <f>SUMIF(D:D, "Holerite", E:E)</f>
        <v>11000</v>
      </c>
    </row>
    <row r="27" spans="3:8" ht="15.75" x14ac:dyDescent="0.25">
      <c r="C27" s="24"/>
      <c r="D27" s="25"/>
      <c r="E27" s="26"/>
      <c r="G27" t="s">
        <v>94</v>
      </c>
      <c r="H27" s="27">
        <f>SUMIF(D:D, "Poupança", E:E)</f>
        <v>2000</v>
      </c>
    </row>
    <row r="28" spans="3:8" ht="15.75" x14ac:dyDescent="0.25">
      <c r="C28" s="24"/>
      <c r="D28" s="25"/>
      <c r="E28" s="26"/>
    </row>
    <row r="29" spans="3:8" ht="15.75" x14ac:dyDescent="0.25">
      <c r="C29" s="24"/>
      <c r="D29" s="25"/>
      <c r="E29" s="26"/>
    </row>
    <row r="30" spans="3:8" ht="15.75" x14ac:dyDescent="0.25">
      <c r="C30" s="24"/>
      <c r="D30" s="25"/>
      <c r="E30" s="26"/>
    </row>
    <row r="31" spans="3:8" ht="15.75" x14ac:dyDescent="0.25">
      <c r="C31" s="24"/>
      <c r="D31" s="25"/>
      <c r="E31" s="26"/>
    </row>
    <row r="32" spans="3:8" ht="15.75" x14ac:dyDescent="0.25">
      <c r="C32" s="24"/>
      <c r="D32" s="25"/>
      <c r="E32" s="26"/>
    </row>
    <row r="33" spans="3:5" ht="15.75" x14ac:dyDescent="0.25">
      <c r="C33" s="24"/>
      <c r="D33" s="25"/>
      <c r="E33" s="26"/>
    </row>
    <row r="34" spans="3:5" ht="15.75" x14ac:dyDescent="0.25">
      <c r="C34" s="24"/>
      <c r="D34" s="25"/>
      <c r="E34" s="26"/>
    </row>
    <row r="35" spans="3:5" ht="15.75" x14ac:dyDescent="0.25">
      <c r="C35" s="24"/>
      <c r="D35" s="25"/>
      <c r="E35" s="26"/>
    </row>
    <row r="36" spans="3:5" ht="15.75" x14ac:dyDescent="0.25">
      <c r="C36" s="24"/>
      <c r="D36" s="25"/>
      <c r="E36" s="26"/>
    </row>
    <row r="37" spans="3:5" ht="15.75" x14ac:dyDescent="0.25">
      <c r="C37" s="24"/>
      <c r="D37" s="25"/>
      <c r="E37" s="26"/>
    </row>
    <row r="38" spans="3:5" ht="15.75" x14ac:dyDescent="0.25">
      <c r="C38" s="24"/>
      <c r="D38" s="25"/>
      <c r="E38" s="26"/>
    </row>
  </sheetData>
  <sheetProtection selectLockedCells="1"/>
  <mergeCells count="2">
    <mergeCell ref="C4:E4"/>
    <mergeCell ref="C7:E7"/>
  </mergeCells>
  <dataValidations count="1">
    <dataValidation type="list" allowBlank="1" showInputMessage="1" showErrorMessage="1" sqref="D9:D38" xr:uid="{0646B7EC-C6D3-42CD-99DD-867ACBA1E69A}">
      <formula1>"Aluguéis,CNPJ,Dividendos,Freelancer,Holerite,Poupança"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77C8-86E3-45F2-B841-ECA0F40C35AC}">
  <sheetPr codeName="Planilha5"/>
  <dimension ref="A1:A51"/>
  <sheetViews>
    <sheetView topLeftCell="A34" workbookViewId="0">
      <selection activeCell="A2" sqref="A2"/>
    </sheetView>
  </sheetViews>
  <sheetFormatPr defaultRowHeight="15" x14ac:dyDescent="0.25"/>
  <cols>
    <col min="1" max="1" width="39" bestFit="1" customWidth="1"/>
  </cols>
  <sheetData>
    <row r="1" spans="1:1" x14ac:dyDescent="0.25">
      <c r="A1" s="11" t="s">
        <v>79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C01649-D08A-4C9B-8DF5-E8B1CCCFF0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TÍTULAR</vt:lpstr>
      <vt:lpstr>INFORMES</vt:lpstr>
      <vt:lpstr>NOTAS</vt:lpstr>
      <vt:lpstr>TABELA APOIO</vt:lpstr>
      <vt:lpstr>RENDIMENTOS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 Mota Benevenuto</dc:creator>
  <cp:lastModifiedBy>Angeli Mota Benevenuto</cp:lastModifiedBy>
  <dcterms:created xsi:type="dcterms:W3CDTF">2026-01-07T13:59:10Z</dcterms:created>
  <dcterms:modified xsi:type="dcterms:W3CDTF">2026-01-12T13:02:09Z</dcterms:modified>
</cp:coreProperties>
</file>